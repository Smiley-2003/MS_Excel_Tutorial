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ina\OneDrive\ドキュメント\Excel Classes\"/>
    </mc:Choice>
  </mc:AlternateContent>
  <xr:revisionPtr revIDLastSave="0" documentId="8_{F4F6EFE1-6750-40D6-8868-E4B06E59B02D}" xr6:coauthVersionLast="47" xr6:coauthVersionMax="47" xr10:uidLastSave="{00000000-0000-0000-0000-000000000000}"/>
  <bookViews>
    <workbookView xWindow="-108" yWindow="-108" windowWidth="23256" windowHeight="12456" xr2:uid="{F0F3BD07-75D2-4843-B02F-B7403A677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4" i="1" l="1"/>
  <c r="H23" i="1"/>
  <c r="H22" i="1"/>
  <c r="H2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3" i="1"/>
  <c r="G24" i="1"/>
  <c r="G23" i="1"/>
  <c r="G22" i="1"/>
  <c r="G21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3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C24" i="1"/>
  <c r="D24" i="1"/>
  <c r="D21" i="1"/>
  <c r="D22" i="1"/>
  <c r="D23" i="1"/>
  <c r="C23" i="1"/>
  <c r="C22" i="1"/>
  <c r="C21" i="1"/>
  <c r="F5" i="1"/>
  <c r="F3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4" i="1"/>
  <c r="F22" i="1" l="1"/>
  <c r="F24" i="1"/>
  <c r="F21" i="1"/>
  <c r="F23" i="1"/>
</calcChain>
</file>

<file path=xl/sharedStrings.xml><?xml version="1.0" encoding="utf-8"?>
<sst xmlns="http://schemas.openxmlformats.org/spreadsheetml/2006/main" count="48" uniqueCount="48">
  <si>
    <t>Employee Payroll</t>
  </si>
  <si>
    <t>Kem</t>
  </si>
  <si>
    <t>Jon</t>
  </si>
  <si>
    <t>Last Name</t>
  </si>
  <si>
    <t>First Name</t>
  </si>
  <si>
    <t>Hourly Wage</t>
  </si>
  <si>
    <t>Howard</t>
  </si>
  <si>
    <t>Glenda</t>
  </si>
  <si>
    <t>O 'Donald</t>
  </si>
  <si>
    <t>Ron</t>
  </si>
  <si>
    <t>Herndanez</t>
  </si>
  <si>
    <t>Wendy</t>
  </si>
  <si>
    <t>Smith</t>
  </si>
  <si>
    <t>Paul</t>
  </si>
  <si>
    <t>Baker</t>
  </si>
  <si>
    <t>Tom</t>
  </si>
  <si>
    <t>Velinda</t>
  </si>
  <si>
    <t>Nancy</t>
  </si>
  <si>
    <t>Carnehan</t>
  </si>
  <si>
    <t>Karen</t>
  </si>
  <si>
    <t>Westerfield</t>
  </si>
  <si>
    <t>Dennis</t>
  </si>
  <si>
    <t>Penfold</t>
  </si>
  <si>
    <t>Sandy</t>
  </si>
  <si>
    <t>Islington</t>
  </si>
  <si>
    <t>Linda</t>
  </si>
  <si>
    <t>Young</t>
  </si>
  <si>
    <t>Olivia</t>
  </si>
  <si>
    <t>Trenton</t>
  </si>
  <si>
    <t>Blessing</t>
  </si>
  <si>
    <t>Engleheart</t>
  </si>
  <si>
    <t>Chandra</t>
  </si>
  <si>
    <t>Norman</t>
  </si>
  <si>
    <t>Bill</t>
  </si>
  <si>
    <t>Mann</t>
  </si>
  <si>
    <t>Trent</t>
  </si>
  <si>
    <t>Underhill</t>
  </si>
  <si>
    <t>Gensis</t>
  </si>
  <si>
    <t>House Worked</t>
  </si>
  <si>
    <t>Pay</t>
  </si>
  <si>
    <t>Max</t>
  </si>
  <si>
    <t>Min</t>
  </si>
  <si>
    <t>Average</t>
  </si>
  <si>
    <t>Total</t>
  </si>
  <si>
    <t>Overtime Hours</t>
  </si>
  <si>
    <t xml:space="preserve"> </t>
  </si>
  <si>
    <t>Overtime Pay</t>
  </si>
  <si>
    <t>Total Pay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</si>
</sst>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6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CEB4-3DEE-4D59-A633-E4F03B940BA4}">
  <dimension ref="A1:J24"/>
  <sheetViews>
    <sheetView tabSelected="1" zoomScale="127" zoomScaleNormal="203" workbookViewId="0">
      <selection activeCell="G24" sqref="G24:H24"/>
    </sheetView>
  </sheetViews>
  <sheetFormatPr defaultRowHeight="14.4" x14ac:dyDescent="0.3"/>
  <cols>
    <col min="1" max="1" width="16.6640625" customWidth="1"/>
    <col min="2" max="2" width="19.109375" customWidth="1"/>
    <col min="3" max="3" width="13.44140625" customWidth="1"/>
    <col min="4" max="5" width="14" customWidth="1"/>
    <col min="6" max="6" width="15.21875" customWidth="1"/>
    <col min="7" max="7" width="14.109375" customWidth="1"/>
    <col min="8" max="8" width="15.44140625" customWidth="1"/>
  </cols>
  <sheetData>
    <row r="1" spans="1:10" x14ac:dyDescent="0.3">
      <c r="A1" t="s">
        <v>0</v>
      </c>
      <c r="D1" t="s">
        <v>38</v>
      </c>
      <c r="E1" t="s">
        <v>44</v>
      </c>
      <c r="F1" t="s">
        <v>39</v>
      </c>
      <c r="G1" t="s">
        <v>46</v>
      </c>
      <c r="H1" t="s">
        <v>47</v>
      </c>
    </row>
    <row r="2" spans="1:10" x14ac:dyDescent="0.3">
      <c r="A2" t="s">
        <v>3</v>
      </c>
      <c r="B2" t="s">
        <v>4</v>
      </c>
      <c r="C2" t="s">
        <v>5</v>
      </c>
      <c r="D2" s="1">
        <v>45658</v>
      </c>
      <c r="E2" s="1"/>
    </row>
    <row r="3" spans="1:10" x14ac:dyDescent="0.3">
      <c r="A3" t="s">
        <v>1</v>
      </c>
      <c r="B3" t="s">
        <v>2</v>
      </c>
      <c r="C3" s="2">
        <v>15.9</v>
      </c>
      <c r="D3">
        <v>41</v>
      </c>
      <c r="E3">
        <f t="shared" ref="E3:E19" si="0">D3-40</f>
        <v>1</v>
      </c>
      <c r="F3" s="2">
        <f t="shared" ref="F3:F19" si="1">C3 *D3</f>
        <v>651.9</v>
      </c>
      <c r="G3" s="3">
        <f>E3*C3</f>
        <v>15.9</v>
      </c>
      <c r="H3" s="3">
        <f>F3+G3</f>
        <v>667.8</v>
      </c>
    </row>
    <row r="4" spans="1:10" x14ac:dyDescent="0.3">
      <c r="A4" t="s">
        <v>6</v>
      </c>
      <c r="B4" t="s">
        <v>7</v>
      </c>
      <c r="C4" s="2">
        <v>10</v>
      </c>
      <c r="D4">
        <v>42</v>
      </c>
      <c r="E4">
        <f t="shared" si="0"/>
        <v>2</v>
      </c>
      <c r="F4" s="2">
        <f t="shared" si="1"/>
        <v>420</v>
      </c>
      <c r="G4" s="3">
        <f t="shared" ref="G4:G19" si="2">E4*C4</f>
        <v>20</v>
      </c>
      <c r="H4" s="3">
        <f t="shared" ref="H4:H19" si="3">F4+G4</f>
        <v>440</v>
      </c>
    </row>
    <row r="5" spans="1:10" x14ac:dyDescent="0.3">
      <c r="A5" t="s">
        <v>8</v>
      </c>
      <c r="B5" t="s">
        <v>9</v>
      </c>
      <c r="C5" s="2">
        <v>22.1</v>
      </c>
      <c r="D5">
        <v>49</v>
      </c>
      <c r="E5">
        <f t="shared" si="0"/>
        <v>9</v>
      </c>
      <c r="F5" s="2">
        <f t="shared" si="1"/>
        <v>1082.9000000000001</v>
      </c>
      <c r="G5" s="3">
        <f t="shared" si="2"/>
        <v>198.9</v>
      </c>
      <c r="H5" s="3">
        <f t="shared" si="3"/>
        <v>1281.8000000000002</v>
      </c>
    </row>
    <row r="6" spans="1:10" x14ac:dyDescent="0.3">
      <c r="A6" t="s">
        <v>10</v>
      </c>
      <c r="B6" t="s">
        <v>11</v>
      </c>
      <c r="C6" s="2">
        <v>19.100000000000001</v>
      </c>
      <c r="D6">
        <v>41</v>
      </c>
      <c r="E6">
        <f t="shared" si="0"/>
        <v>1</v>
      </c>
      <c r="F6" s="2">
        <f t="shared" si="1"/>
        <v>783.1</v>
      </c>
      <c r="G6" s="3">
        <f t="shared" si="2"/>
        <v>19.100000000000001</v>
      </c>
      <c r="H6" s="3">
        <f t="shared" si="3"/>
        <v>802.2</v>
      </c>
      <c r="J6" t="s">
        <v>45</v>
      </c>
    </row>
    <row r="7" spans="1:10" x14ac:dyDescent="0.3">
      <c r="A7" t="s">
        <v>12</v>
      </c>
      <c r="B7" t="s">
        <v>13</v>
      </c>
      <c r="C7" s="2">
        <v>6.9</v>
      </c>
      <c r="D7">
        <v>39</v>
      </c>
      <c r="E7">
        <f t="shared" si="0"/>
        <v>-1</v>
      </c>
      <c r="F7" s="2">
        <f t="shared" si="1"/>
        <v>269.10000000000002</v>
      </c>
      <c r="G7" s="3">
        <f t="shared" si="2"/>
        <v>-6.9</v>
      </c>
      <c r="H7" s="3">
        <f t="shared" si="3"/>
        <v>262.20000000000005</v>
      </c>
    </row>
    <row r="8" spans="1:10" x14ac:dyDescent="0.3">
      <c r="A8" t="s">
        <v>14</v>
      </c>
      <c r="B8" t="s">
        <v>15</v>
      </c>
      <c r="C8" s="2">
        <v>14.2</v>
      </c>
      <c r="D8">
        <v>44</v>
      </c>
      <c r="E8">
        <f t="shared" si="0"/>
        <v>4</v>
      </c>
      <c r="F8" s="2">
        <f t="shared" si="1"/>
        <v>624.79999999999995</v>
      </c>
      <c r="G8" s="3">
        <f t="shared" si="2"/>
        <v>56.8</v>
      </c>
      <c r="H8" s="3">
        <f t="shared" si="3"/>
        <v>681.59999999999991</v>
      </c>
    </row>
    <row r="9" spans="1:10" x14ac:dyDescent="0.3">
      <c r="A9" t="s">
        <v>16</v>
      </c>
      <c r="B9" t="s">
        <v>17</v>
      </c>
      <c r="C9" s="2">
        <v>18</v>
      </c>
      <c r="D9">
        <v>55</v>
      </c>
      <c r="E9">
        <f t="shared" si="0"/>
        <v>15</v>
      </c>
      <c r="F9" s="2">
        <f t="shared" si="1"/>
        <v>990</v>
      </c>
      <c r="G9" s="3">
        <f t="shared" si="2"/>
        <v>270</v>
      </c>
      <c r="H9" s="3">
        <f t="shared" si="3"/>
        <v>1260</v>
      </c>
    </row>
    <row r="10" spans="1:10" x14ac:dyDescent="0.3">
      <c r="A10" t="s">
        <v>18</v>
      </c>
      <c r="B10" t="s">
        <v>19</v>
      </c>
      <c r="C10" s="2">
        <v>17.5</v>
      </c>
      <c r="D10">
        <v>33</v>
      </c>
      <c r="E10">
        <f t="shared" si="0"/>
        <v>-7</v>
      </c>
      <c r="F10" s="2">
        <f t="shared" si="1"/>
        <v>577.5</v>
      </c>
      <c r="G10" s="3">
        <f t="shared" si="2"/>
        <v>-122.5</v>
      </c>
      <c r="H10" s="3">
        <f t="shared" si="3"/>
        <v>455</v>
      </c>
    </row>
    <row r="11" spans="1:10" x14ac:dyDescent="0.3">
      <c r="A11" t="s">
        <v>20</v>
      </c>
      <c r="B11" t="s">
        <v>21</v>
      </c>
      <c r="C11" s="2">
        <v>14.7</v>
      </c>
      <c r="D11">
        <v>29</v>
      </c>
      <c r="E11">
        <f t="shared" si="0"/>
        <v>-11</v>
      </c>
      <c r="F11" s="2">
        <f t="shared" si="1"/>
        <v>426.29999999999995</v>
      </c>
      <c r="G11" s="3">
        <f t="shared" si="2"/>
        <v>-161.69999999999999</v>
      </c>
      <c r="H11" s="3">
        <f t="shared" si="3"/>
        <v>264.59999999999997</v>
      </c>
    </row>
    <row r="12" spans="1:10" x14ac:dyDescent="0.3">
      <c r="A12" t="s">
        <v>22</v>
      </c>
      <c r="B12" t="s">
        <v>23</v>
      </c>
      <c r="C12" s="2">
        <v>13.9</v>
      </c>
      <c r="D12">
        <v>40</v>
      </c>
      <c r="E12">
        <f t="shared" si="0"/>
        <v>0</v>
      </c>
      <c r="F12" s="2">
        <f t="shared" si="1"/>
        <v>556</v>
      </c>
      <c r="G12" s="3">
        <f t="shared" si="2"/>
        <v>0</v>
      </c>
      <c r="H12" s="3">
        <f t="shared" si="3"/>
        <v>556</v>
      </c>
    </row>
    <row r="13" spans="1:10" x14ac:dyDescent="0.3">
      <c r="A13" t="s">
        <v>24</v>
      </c>
      <c r="B13" t="s">
        <v>25</v>
      </c>
      <c r="C13" s="2">
        <v>11.2</v>
      </c>
      <c r="D13">
        <v>40</v>
      </c>
      <c r="E13">
        <f t="shared" si="0"/>
        <v>0</v>
      </c>
      <c r="F13" s="2">
        <f t="shared" si="1"/>
        <v>448</v>
      </c>
      <c r="G13" s="3">
        <f t="shared" si="2"/>
        <v>0</v>
      </c>
      <c r="H13" s="3">
        <f t="shared" si="3"/>
        <v>448</v>
      </c>
    </row>
    <row r="14" spans="1:10" x14ac:dyDescent="0.3">
      <c r="A14" t="s">
        <v>26</v>
      </c>
      <c r="B14" t="s">
        <v>27</v>
      </c>
      <c r="C14" s="2">
        <v>10.1</v>
      </c>
      <c r="D14">
        <v>40</v>
      </c>
      <c r="E14">
        <f t="shared" si="0"/>
        <v>0</v>
      </c>
      <c r="F14" s="2">
        <f t="shared" si="1"/>
        <v>404</v>
      </c>
      <c r="G14" s="3">
        <f t="shared" si="2"/>
        <v>0</v>
      </c>
      <c r="H14" s="3">
        <f t="shared" si="3"/>
        <v>404</v>
      </c>
    </row>
    <row r="15" spans="1:10" x14ac:dyDescent="0.3">
      <c r="A15" t="s">
        <v>28</v>
      </c>
      <c r="B15" t="s">
        <v>29</v>
      </c>
      <c r="C15" s="2">
        <v>9</v>
      </c>
      <c r="D15">
        <v>42</v>
      </c>
      <c r="E15">
        <f t="shared" si="0"/>
        <v>2</v>
      </c>
      <c r="F15" s="2">
        <f t="shared" si="1"/>
        <v>378</v>
      </c>
      <c r="G15" s="3">
        <f t="shared" si="2"/>
        <v>18</v>
      </c>
      <c r="H15" s="3">
        <f t="shared" si="3"/>
        <v>396</v>
      </c>
    </row>
    <row r="16" spans="1:10" x14ac:dyDescent="0.3">
      <c r="A16" t="s">
        <v>30</v>
      </c>
      <c r="B16" t="s">
        <v>31</v>
      </c>
      <c r="C16" s="2">
        <v>8.44</v>
      </c>
      <c r="D16">
        <v>40</v>
      </c>
      <c r="E16">
        <f t="shared" si="0"/>
        <v>0</v>
      </c>
      <c r="F16" s="2">
        <f t="shared" si="1"/>
        <v>337.59999999999997</v>
      </c>
      <c r="G16" s="3">
        <f t="shared" si="2"/>
        <v>0</v>
      </c>
      <c r="H16" s="3">
        <f t="shared" si="3"/>
        <v>337.59999999999997</v>
      </c>
    </row>
    <row r="17" spans="1:8" x14ac:dyDescent="0.3">
      <c r="A17" t="s">
        <v>32</v>
      </c>
      <c r="B17" t="s">
        <v>33</v>
      </c>
      <c r="C17" s="2">
        <v>14.2</v>
      </c>
      <c r="D17">
        <v>40</v>
      </c>
      <c r="E17">
        <f t="shared" si="0"/>
        <v>0</v>
      </c>
      <c r="F17" s="2">
        <f t="shared" si="1"/>
        <v>568</v>
      </c>
      <c r="G17" s="3">
        <f t="shared" si="2"/>
        <v>0</v>
      </c>
      <c r="H17" s="3">
        <f t="shared" si="3"/>
        <v>568</v>
      </c>
    </row>
    <row r="18" spans="1:8" x14ac:dyDescent="0.3">
      <c r="A18" t="s">
        <v>34</v>
      </c>
      <c r="B18" t="s">
        <v>35</v>
      </c>
      <c r="C18" s="2">
        <v>45</v>
      </c>
      <c r="D18">
        <v>41</v>
      </c>
      <c r="E18">
        <f t="shared" si="0"/>
        <v>1</v>
      </c>
      <c r="F18" s="2">
        <f t="shared" si="1"/>
        <v>1845</v>
      </c>
      <c r="G18" s="3">
        <f t="shared" si="2"/>
        <v>45</v>
      </c>
      <c r="H18" s="3">
        <f t="shared" si="3"/>
        <v>1890</v>
      </c>
    </row>
    <row r="19" spans="1:8" x14ac:dyDescent="0.3">
      <c r="A19" t="s">
        <v>36</v>
      </c>
      <c r="B19" t="s">
        <v>37</v>
      </c>
      <c r="C19" s="2">
        <v>30</v>
      </c>
      <c r="D19">
        <v>39</v>
      </c>
      <c r="E19">
        <f t="shared" si="0"/>
        <v>-1</v>
      </c>
      <c r="F19" s="2">
        <f t="shared" si="1"/>
        <v>1170</v>
      </c>
      <c r="G19" s="3">
        <f t="shared" si="2"/>
        <v>-30</v>
      </c>
      <c r="H19" s="3">
        <f t="shared" si="3"/>
        <v>1140</v>
      </c>
    </row>
    <row r="21" spans="1:8" x14ac:dyDescent="0.3">
      <c r="A21" t="s">
        <v>40</v>
      </c>
      <c r="C21" s="3">
        <f>MAX(C3:C19)</f>
        <v>45</v>
      </c>
      <c r="D21" s="4">
        <f>MAX(D3:D19)</f>
        <v>55</v>
      </c>
      <c r="E21" s="4"/>
      <c r="F21" s="2">
        <f>MAX(F3:F19)</f>
        <v>1845</v>
      </c>
      <c r="G21" s="2">
        <f>MAX(G3:G19)</f>
        <v>270</v>
      </c>
      <c r="H21" s="2">
        <f>MAX(H3:H19)</f>
        <v>1890</v>
      </c>
    </row>
    <row r="22" spans="1:8" x14ac:dyDescent="0.3">
      <c r="A22" t="s">
        <v>41</v>
      </c>
      <c r="C22" s="3">
        <f xml:space="preserve"> MIN(C3:C19)</f>
        <v>6.9</v>
      </c>
      <c r="D22" s="4">
        <f xml:space="preserve"> MIN(D3:D19)</f>
        <v>29</v>
      </c>
      <c r="E22" s="4"/>
      <c r="F22" s="2">
        <f xml:space="preserve"> MIN(F3:F19)</f>
        <v>269.10000000000002</v>
      </c>
      <c r="G22" s="2">
        <f xml:space="preserve"> MIN(G3:G19)</f>
        <v>-161.69999999999999</v>
      </c>
      <c r="H22" s="2">
        <f xml:space="preserve"> MIN(H3:H19)</f>
        <v>262.20000000000005</v>
      </c>
    </row>
    <row r="23" spans="1:8" x14ac:dyDescent="0.3">
      <c r="A23" t="s">
        <v>42</v>
      </c>
      <c r="C23" s="3">
        <f>AVERAGE(C3:C19)</f>
        <v>16.484705882352941</v>
      </c>
      <c r="D23" s="4">
        <f>AVERAGE(D3:D19)</f>
        <v>40.882352941176471</v>
      </c>
      <c r="E23" s="4"/>
      <c r="F23" s="2">
        <f>AVERAGE(F3:F19)</f>
        <v>678.36470588235295</v>
      </c>
      <c r="G23" s="2">
        <f>AVERAGE(G3:G19)</f>
        <v>18.976470588235291</v>
      </c>
      <c r="H23" s="2">
        <f>AVERAGE(H3:H19)</f>
        <v>697.34117647058827</v>
      </c>
    </row>
    <row r="24" spans="1:8" x14ac:dyDescent="0.3">
      <c r="A24" t="s">
        <v>43</v>
      </c>
      <c r="C24" s="3">
        <f>SUM(C3:C19)</f>
        <v>280.24</v>
      </c>
      <c r="D24">
        <f>SUM(D3:D19)</f>
        <v>695</v>
      </c>
      <c r="F24" s="3">
        <f>SUM(F3:F19)</f>
        <v>11532.2</v>
      </c>
      <c r="G24" s="3">
        <f>SUM(G3:G19)</f>
        <v>322.59999999999997</v>
      </c>
      <c r="H24" s="3">
        <f>SUM(H3:H19)</f>
        <v>11854.800000000001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Naina Mogha</dc:creator>
  <cp:lastModifiedBy>Naina Mogha</cp:lastModifiedBy>
  <dcterms:created xsi:type="dcterms:W3CDTF">2025-12-17T02:26:19Z</dcterms:created>
  <dcterms:modified xsi:type="dcterms:W3CDTF">2025-12-27T14:51:54Z</dcterms:modified>
</cp:coreProperties>
</file>