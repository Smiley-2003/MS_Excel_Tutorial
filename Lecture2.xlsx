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a\OneDrive\ドキュメント\Excel Classes\"/>
    </mc:Choice>
  </mc:AlternateContent>
  <xr:revisionPtr revIDLastSave="0" documentId="13_ncr:1_{1EFB050B-08FA-415E-848D-884B751C7839}" xr6:coauthVersionLast="47" xr6:coauthVersionMax="47" xr10:uidLastSave="{00000000-0000-0000-0000-000000000000}"/>
  <bookViews>
    <workbookView xWindow="-108" yWindow="-108" windowWidth="23256" windowHeight="12456" xr2:uid="{E178BE95-E96C-4578-AD45-3AE0B4C85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H5" i="1"/>
  <c r="H6" i="1"/>
  <c r="H7" i="1"/>
  <c r="H8" i="1"/>
  <c r="H9" i="1"/>
  <c r="H10" i="1"/>
  <c r="H11" i="1"/>
  <c r="H12" i="1"/>
  <c r="H13" i="1"/>
  <c r="H14" i="1"/>
  <c r="H15" i="1"/>
  <c r="H25" i="1" s="1"/>
  <c r="H16" i="1"/>
  <c r="H17" i="1"/>
  <c r="H18" i="1"/>
  <c r="H19" i="1"/>
  <c r="H20" i="1"/>
  <c r="H4" i="1"/>
  <c r="K25" i="1"/>
  <c r="K24" i="1"/>
  <c r="K14" i="1"/>
  <c r="K17" i="1"/>
  <c r="K22" i="1"/>
  <c r="I5" i="1"/>
  <c r="J5" i="1"/>
  <c r="K5" i="1"/>
  <c r="K6" i="1"/>
  <c r="K7" i="1"/>
  <c r="K8" i="1"/>
  <c r="K9" i="1"/>
  <c r="K10" i="1"/>
  <c r="K11" i="1"/>
  <c r="K12" i="1"/>
  <c r="K13" i="1"/>
  <c r="K15" i="1"/>
  <c r="K16" i="1"/>
  <c r="K18" i="1"/>
  <c r="K19" i="1"/>
  <c r="K20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4" i="1"/>
  <c r="K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  <c r="D25" i="1"/>
  <c r="E25" i="1"/>
  <c r="F25" i="1"/>
  <c r="D24" i="1"/>
  <c r="E24" i="1"/>
  <c r="F24" i="1"/>
  <c r="D23" i="1"/>
  <c r="E23" i="1"/>
  <c r="F23" i="1"/>
  <c r="D22" i="1"/>
  <c r="E22" i="1"/>
  <c r="F22" i="1"/>
  <c r="C25" i="1"/>
  <c r="C24" i="1"/>
  <c r="C23" i="1"/>
  <c r="C22" i="1"/>
  <c r="H23" i="1" l="1"/>
  <c r="H24" i="1"/>
  <c r="H22" i="1"/>
  <c r="J25" i="1"/>
  <c r="J23" i="1"/>
  <c r="J24" i="1"/>
  <c r="J22" i="1"/>
  <c r="I25" i="1"/>
  <c r="I22" i="1"/>
  <c r="I24" i="1"/>
  <c r="I23" i="1"/>
</calcChain>
</file>

<file path=xl/sharedStrings.xml><?xml version="1.0" encoding="utf-8"?>
<sst xmlns="http://schemas.openxmlformats.org/spreadsheetml/2006/main" count="51" uniqueCount="47">
  <si>
    <t>Gradebook</t>
  </si>
  <si>
    <t>First Name</t>
  </si>
  <si>
    <t>Last Name</t>
  </si>
  <si>
    <t>Kem</t>
  </si>
  <si>
    <t>Jon</t>
  </si>
  <si>
    <t>Howard</t>
  </si>
  <si>
    <t>Glenda</t>
  </si>
  <si>
    <t>O 'Donald</t>
  </si>
  <si>
    <t>Ron</t>
  </si>
  <si>
    <t>Herndanez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</si>
  <si>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</si>
  <si>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</si>
  <si>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</si>
  <si>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</si>
  <si>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</si>
  <si>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</si>
  <si>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</si>
  <si>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</si>
  <si>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</si>
  <si>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</si>
  <si>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</si>
  <si>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</si>
  <si>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</si>
  <si>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</si>
  <si>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</si>
  <si>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</si>
  <si>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</si>
  <si>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</si>
  <si>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</si>
  <si>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</si>
  <si>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</si>
  <si>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</si>
  <si>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</si>
  <si>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</si>
  <si>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</si>
  <si>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</si>
  <si>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Gensis</t>
  </si>
  <si>
    <t>Possible Points</t>
  </si>
  <si>
    <t>Safety Test</t>
  </si>
  <si>
    <t>Company Philosophy Test</t>
  </si>
  <si>
    <t>Financial Skill Test</t>
  </si>
  <si>
    <t>Drug Test</t>
  </si>
  <si>
    <t>MIN</t>
  </si>
  <si>
    <t>MAX</t>
  </si>
  <si>
    <t>AVERAGE</t>
  </si>
  <si>
    <t>TOTAL</t>
  </si>
  <si>
    <t>Fire Employee?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</si>
</sst>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Company Philosophy 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Sheet1!$I$2:$I$20</c:f>
              <c:numCache>
                <c:formatCode>General</c:formatCode>
                <c:ptCount val="19"/>
                <c:pt idx="2" formatCode="0%">
                  <c:v>0.95</c:v>
                </c:pt>
                <c:pt idx="3" formatCode="0%">
                  <c:v>1</c:v>
                </c:pt>
                <c:pt idx="4" formatCode="0%">
                  <c:v>0.94736842105263153</c:v>
                </c:pt>
                <c:pt idx="5" formatCode="0%">
                  <c:v>0.85</c:v>
                </c:pt>
                <c:pt idx="6" formatCode="0%">
                  <c:v>0.55555555555555558</c:v>
                </c:pt>
                <c:pt idx="7" formatCode="0%">
                  <c:v>1.1764705882352942</c:v>
                </c:pt>
                <c:pt idx="8" formatCode="0%">
                  <c:v>1.7</c:v>
                </c:pt>
                <c:pt idx="9" formatCode="0%">
                  <c:v>0.3</c:v>
                </c:pt>
                <c:pt idx="10" formatCode="0%">
                  <c:v>1.1764705882352942</c:v>
                </c:pt>
                <c:pt idx="11" formatCode="0%">
                  <c:v>3.3333333333333335</c:v>
                </c:pt>
                <c:pt idx="12" formatCode="0%">
                  <c:v>0.95</c:v>
                </c:pt>
                <c:pt idx="13" formatCode="0%">
                  <c:v>0.85</c:v>
                </c:pt>
                <c:pt idx="14" formatCode="0%">
                  <c:v>1</c:v>
                </c:pt>
                <c:pt idx="15" formatCode="0%">
                  <c:v>1.1764705882352942</c:v>
                </c:pt>
                <c:pt idx="16" formatCode="0%">
                  <c:v>0.52631578947368418</c:v>
                </c:pt>
                <c:pt idx="17" formatCode="0%">
                  <c:v>1</c:v>
                </c:pt>
                <c:pt idx="18" formatCode="0%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8-4D40-B654-295E33C4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320127"/>
        <c:axId val="58320607"/>
        <c:axId val="0"/>
      </c:bar3DChart>
      <c:catAx>
        <c:axId val="5832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0607"/>
        <c:crosses val="autoZero"/>
        <c:auto val="1"/>
        <c:lblAlgn val="ctr"/>
        <c:lblOffset val="100"/>
        <c:noMultiLvlLbl val="0"/>
      </c:catAx>
      <c:valAx>
        <c:axId val="583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67825896762902"/>
          <c:y val="0.17171296296296298"/>
          <c:w val="0.87232174103237092"/>
          <c:h val="0.46567767570720325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06-4BF5-9D83-2FC670437DC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Sheet1!$H$5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06-4BF5-9D83-2FC670437DC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Sheet1!$H$6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06-4BF5-9D83-2FC670437DC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Sheet1!$H$7</c:f>
              <c:numCache>
                <c:formatCode>0%</c:formatCode>
                <c:ptCount val="1"/>
                <c:pt idx="0">
                  <c:v>0.88888888888888884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06-4BF5-9D83-2FC670437DC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Sheet1!$H$8</c:f>
              <c:numCache>
                <c:formatCode>0%</c:formatCode>
                <c:ptCount val="1"/>
                <c:pt idx="0">
                  <c:v>1.1111111111111112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06-4BF5-9D83-2FC670437DC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Sheet1!$H$9</c:f>
              <c:numCache>
                <c:formatCode>0%</c:formatCode>
                <c:ptCount val="1"/>
                <c:pt idx="0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06-4BF5-9D83-2FC670437DC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Sheet1!$H$10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06-4BF5-9D83-2FC670437DC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Sheet1!$H$11</c:f>
              <c:numCache>
                <c:formatCode>0%</c:formatCode>
                <c:ptCount val="1"/>
                <c:pt idx="0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06-4BF5-9D83-2FC670437DC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Sheet1!$H$12</c:f>
              <c:numCache>
                <c:formatCode>0%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06-4BF5-9D83-2FC670437DC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Sheet1!$H$13</c:f>
              <c:numCache>
                <c:formatCode>0%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06-4BF5-9D83-2FC670437DC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06-4BF5-9D83-2FC670437DC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Sheet1!$H$15</c:f>
              <c:numCache>
                <c:formatCode>0%</c:formatCode>
                <c:ptCount val="1"/>
                <c:pt idx="0">
                  <c:v>0.88888888888888884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06-4BF5-9D83-2FC670437DC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Sheet1!$H$16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06-4BF5-9D83-2FC670437DC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Sheet1!$H$17</c:f>
              <c:numCache>
                <c:formatCode>0%</c:formatCode>
                <c:ptCount val="1"/>
                <c:pt idx="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06-4BF5-9D83-2FC670437DC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Sheet1!$H$18</c:f>
              <c:numCache>
                <c:formatCode>0%</c:formatCode>
                <c:ptCount val="1"/>
                <c:pt idx="0">
                  <c:v>1.1111111111111112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006-4BF5-9D83-2FC670437DC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Sheet1!$H$19</c:f>
              <c:numCache>
                <c:formatCode>0%</c:formatCode>
                <c:ptCount val="1"/>
                <c:pt idx="0">
                  <c:v>1.5714285714285714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006-4BF5-9D83-2FC670437DC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</c:f>
              <c:strCache>
                <c:ptCount val="1"/>
                <c:pt idx="0">
                  <c:v>Safety Test</c:v>
                </c:pt>
              </c:strCache>
            </c:strRef>
          </c:cat>
          <c:val>
            <c:numRef>
              <c:f>Sheet1!$H$20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006-4BF5-9D83-2FC67043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44111"/>
        <c:axId val="53744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Safety Test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Sheet1!$H$2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006-4BF5-9D83-2FC670437DC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Safety Test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006-4BF5-9D83-2FC670437DC4}"/>
                  </c:ext>
                </c:extLst>
              </c15:ser>
            </c15:filteredBarSeries>
          </c:ext>
        </c:extLst>
      </c:barChart>
      <c:catAx>
        <c:axId val="5374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4591"/>
        <c:crosses val="autoZero"/>
        <c:auto val="1"/>
        <c:lblAlgn val="ctr"/>
        <c:lblOffset val="100"/>
        <c:noMultiLvlLbl val="0"/>
      </c:catAx>
      <c:valAx>
        <c:axId val="537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427462</xdr:colOff>
      <xdr:row>13</xdr:row>
      <xdr:rowOff>36240</xdr:rowOff>
    </xdr:from>
    <xdr:to>
      <xdr:col>21</xdr:col>
      <xdr:colOff>92926</xdr:colOff>
      <xdr:row>27</xdr:row>
      <xdr:rowOff>177489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8E539D-34D1-BFD4-1DC1-CE868537F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362414</xdr:colOff>
      <xdr:row>0</xdr:row>
      <xdr:rowOff>668143</xdr:rowOff>
    </xdr:from>
    <xdr:to>
      <xdr:col>21</xdr:col>
      <xdr:colOff>27878</xdr:colOff>
      <xdr:row>11</xdr:row>
      <xdr:rowOff>168197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B67495-3144-C40A-1AE1-5D0AEA7D9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6435-5C5E-486E-A674-F6A4B2477379}">
  <dimension ref="A1:M25"/>
  <sheetViews>
    <sheetView tabSelected="1" zoomScale="81" workbookViewId="0">
      <selection activeCell="F18" sqref="F18"/>
    </sheetView>
  </sheetViews>
  <sheetFormatPr defaultRowHeight="14.4" x14ac:dyDescent="0.3"/>
  <cols>
    <col min="1" max="1" width="10.6640625" customWidth="1"/>
    <col min="2" max="2" width="13.21875" customWidth="1"/>
    <col min="8" max="8" width="11.88671875" customWidth="1"/>
  </cols>
  <sheetData>
    <row r="1" spans="1:13" ht="109.2" customHeight="1" x14ac:dyDescent="0.3">
      <c r="A1" t="s">
        <v>0</v>
      </c>
      <c r="C1" s="1" t="s">
        <v>38</v>
      </c>
      <c r="D1" s="1" t="s">
        <v>39</v>
      </c>
      <c r="E1" s="1" t="s">
        <v>40</v>
      </c>
      <c r="F1" s="1" t="s">
        <v>40</v>
      </c>
      <c r="H1" s="1" t="s">
        <v>38</v>
      </c>
      <c r="I1" s="1" t="s">
        <v>39</v>
      </c>
      <c r="J1" s="1" t="s">
        <v>40</v>
      </c>
      <c r="K1" s="1" t="s">
        <v>41</v>
      </c>
      <c r="M1" s="1" t="s">
        <v>46</v>
      </c>
    </row>
    <row r="2" spans="1:13" x14ac:dyDescent="0.3">
      <c r="B2" t="s">
        <v>37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2</v>
      </c>
      <c r="B3" t="s">
        <v>1</v>
      </c>
    </row>
    <row r="4" spans="1:13" x14ac:dyDescent="0.3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C4/C2</f>
        <v>1</v>
      </c>
      <c r="I4" s="2">
        <f>D4/D2</f>
        <v>0.95</v>
      </c>
      <c r="J4" s="2">
        <f t="shared" ref="J4:K19" si="0">E4/E2</f>
        <v>0.93</v>
      </c>
      <c r="K4" s="2">
        <f t="shared" si="0"/>
        <v>1</v>
      </c>
      <c r="M4" s="2" t="b">
        <f xml:space="preserve"> IF(I4&lt;0.5,J4&lt;0.5,K4&lt;0.5)</f>
        <v>0</v>
      </c>
    </row>
    <row r="5" spans="1:13" x14ac:dyDescent="0.3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2">
        <f>C5/C2</f>
        <v>0.9</v>
      </c>
      <c r="I5" s="2">
        <f t="shared" ref="I5:K5" si="1">D5/D2</f>
        <v>1</v>
      </c>
      <c r="J5" s="2">
        <f t="shared" si="1"/>
        <v>1</v>
      </c>
      <c r="K5" s="2">
        <f t="shared" si="1"/>
        <v>1</v>
      </c>
      <c r="M5" s="2" t="b">
        <f t="shared" ref="M5:M20" si="2" xml:space="preserve"> IF(I5&lt;0.5,J5&lt;0.5,K5&lt;0.5)</f>
        <v>0</v>
      </c>
    </row>
    <row r="6" spans="1:13" x14ac:dyDescent="0.3">
      <c r="A6" t="s">
        <v>7</v>
      </c>
      <c r="B6" t="s">
        <v>8</v>
      </c>
      <c r="C6">
        <v>9</v>
      </c>
      <c r="D6">
        <v>18</v>
      </c>
      <c r="E6">
        <v>72</v>
      </c>
      <c r="F6">
        <v>1</v>
      </c>
      <c r="H6" s="2">
        <f t="shared" ref="H6:H20" si="3">C6/C4</f>
        <v>0.9</v>
      </c>
      <c r="I6" s="2">
        <f t="shared" ref="I5:K20" si="4">D6/D4</f>
        <v>0.94736842105263153</v>
      </c>
      <c r="J6" s="2">
        <f t="shared" si="0"/>
        <v>0.77419354838709675</v>
      </c>
      <c r="K6" s="2">
        <f t="shared" si="0"/>
        <v>1</v>
      </c>
      <c r="M6" s="2" t="b">
        <f t="shared" si="2"/>
        <v>0</v>
      </c>
    </row>
    <row r="7" spans="1:13" x14ac:dyDescent="0.3">
      <c r="A7" t="s">
        <v>9</v>
      </c>
      <c r="B7" t="s">
        <v>10</v>
      </c>
      <c r="C7">
        <v>8</v>
      </c>
      <c r="D7">
        <v>17</v>
      </c>
      <c r="E7">
        <v>73</v>
      </c>
      <c r="F7">
        <v>1</v>
      </c>
      <c r="H7" s="2">
        <f t="shared" si="3"/>
        <v>0.88888888888888884</v>
      </c>
      <c r="I7" s="2">
        <f t="shared" si="4"/>
        <v>0.85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3">
      <c r="A8" t="s">
        <v>11</v>
      </c>
      <c r="B8" t="s">
        <v>12</v>
      </c>
      <c r="C8">
        <v>10</v>
      </c>
      <c r="D8">
        <v>10</v>
      </c>
      <c r="E8">
        <v>59</v>
      </c>
      <c r="F8">
        <v>1</v>
      </c>
      <c r="H8" s="2">
        <f t="shared" si="3"/>
        <v>1.1111111111111112</v>
      </c>
      <c r="I8" s="2">
        <f t="shared" si="4"/>
        <v>0.55555555555555558</v>
      </c>
      <c r="J8" s="2">
        <f t="shared" si="0"/>
        <v>0.81944444444444442</v>
      </c>
      <c r="K8" s="2">
        <f t="shared" si="0"/>
        <v>1</v>
      </c>
      <c r="M8" s="2" t="b">
        <f t="shared" si="2"/>
        <v>0</v>
      </c>
    </row>
    <row r="9" spans="1:13" x14ac:dyDescent="0.3">
      <c r="A9" t="s">
        <v>13</v>
      </c>
      <c r="B9" t="s">
        <v>14</v>
      </c>
      <c r="C9">
        <v>9</v>
      </c>
      <c r="D9">
        <v>20</v>
      </c>
      <c r="E9">
        <v>100</v>
      </c>
      <c r="F9">
        <v>1</v>
      </c>
      <c r="H9" s="2">
        <f t="shared" si="3"/>
        <v>1.125</v>
      </c>
      <c r="I9" s="2">
        <f t="shared" si="4"/>
        <v>1.1764705882352942</v>
      </c>
      <c r="J9" s="2">
        <f t="shared" si="0"/>
        <v>1.3698630136986301</v>
      </c>
      <c r="K9" s="2">
        <f t="shared" si="0"/>
        <v>1</v>
      </c>
      <c r="M9" s="2" t="b">
        <f t="shared" si="2"/>
        <v>0</v>
      </c>
    </row>
    <row r="10" spans="1:13" x14ac:dyDescent="0.3">
      <c r="A10" t="s">
        <v>15</v>
      </c>
      <c r="B10" t="s">
        <v>16</v>
      </c>
      <c r="C10">
        <v>8</v>
      </c>
      <c r="D10">
        <v>17</v>
      </c>
      <c r="E10">
        <v>100</v>
      </c>
      <c r="F10">
        <v>1</v>
      </c>
      <c r="H10" s="2">
        <f t="shared" si="3"/>
        <v>0.8</v>
      </c>
      <c r="I10" s="2">
        <f t="shared" si="4"/>
        <v>1.7</v>
      </c>
      <c r="J10" s="2">
        <f t="shared" si="0"/>
        <v>1.6949152542372881</v>
      </c>
      <c r="K10" s="2">
        <f t="shared" si="0"/>
        <v>1</v>
      </c>
      <c r="M10" s="2" t="b">
        <f t="shared" si="2"/>
        <v>0</v>
      </c>
    </row>
    <row r="11" spans="1:13" x14ac:dyDescent="0.3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2">
        <f t="shared" si="3"/>
        <v>0.55555555555555558</v>
      </c>
      <c r="I11" s="2">
        <f t="shared" si="4"/>
        <v>0.3</v>
      </c>
      <c r="J11" s="2">
        <f t="shared" si="0"/>
        <v>1</v>
      </c>
      <c r="K11" s="2">
        <f t="shared" si="0"/>
        <v>1</v>
      </c>
      <c r="M11" s="2" t="b">
        <f t="shared" si="2"/>
        <v>0</v>
      </c>
    </row>
    <row r="12" spans="1:13" x14ac:dyDescent="0.3">
      <c r="A12" t="s">
        <v>19</v>
      </c>
      <c r="B12" t="s">
        <v>20</v>
      </c>
      <c r="C12">
        <v>10</v>
      </c>
      <c r="D12">
        <v>20</v>
      </c>
      <c r="E12">
        <v>67</v>
      </c>
      <c r="F12">
        <v>0</v>
      </c>
      <c r="H12" s="2">
        <f t="shared" si="3"/>
        <v>1.25</v>
      </c>
      <c r="I12" s="2">
        <f t="shared" si="4"/>
        <v>1.1764705882352942</v>
      </c>
      <c r="J12" s="2">
        <f t="shared" si="0"/>
        <v>0.67</v>
      </c>
      <c r="K12" s="2">
        <f t="shared" si="0"/>
        <v>0</v>
      </c>
      <c r="M12" s="2" t="b">
        <f t="shared" si="2"/>
        <v>1</v>
      </c>
    </row>
    <row r="13" spans="1:13" x14ac:dyDescent="0.3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2">
        <f t="shared" si="3"/>
        <v>1.8</v>
      </c>
      <c r="I13" s="2">
        <f t="shared" si="4"/>
        <v>3.3333333333333335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3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2">
        <f t="shared" si="3"/>
        <v>1</v>
      </c>
      <c r="I14" s="2">
        <f t="shared" si="4"/>
        <v>0.95</v>
      </c>
      <c r="J14" s="2">
        <f t="shared" si="0"/>
        <v>1.1940298507462686</v>
      </c>
      <c r="K14" s="2">
        <f>F14/F2</f>
        <v>1</v>
      </c>
      <c r="M14" s="2" t="b">
        <f t="shared" si="2"/>
        <v>0</v>
      </c>
    </row>
    <row r="15" spans="1:13" x14ac:dyDescent="0.3">
      <c r="A15" t="s">
        <v>25</v>
      </c>
      <c r="B15" t="s">
        <v>26</v>
      </c>
      <c r="C15">
        <v>8</v>
      </c>
      <c r="D15">
        <v>17</v>
      </c>
      <c r="E15">
        <v>90</v>
      </c>
      <c r="F15">
        <v>0</v>
      </c>
      <c r="H15" s="2">
        <f t="shared" si="3"/>
        <v>0.88888888888888884</v>
      </c>
      <c r="I15" s="2">
        <f t="shared" si="4"/>
        <v>0.85</v>
      </c>
      <c r="J15" s="2">
        <f t="shared" si="0"/>
        <v>1.2857142857142858</v>
      </c>
      <c r="K15" s="2">
        <f t="shared" si="0"/>
        <v>0</v>
      </c>
      <c r="M15" s="2" t="b">
        <f t="shared" si="2"/>
        <v>1</v>
      </c>
    </row>
    <row r="16" spans="1:13" x14ac:dyDescent="0.3">
      <c r="A16" t="s">
        <v>27</v>
      </c>
      <c r="B16" t="s">
        <v>28</v>
      </c>
      <c r="C16">
        <v>9</v>
      </c>
      <c r="D16">
        <v>19</v>
      </c>
      <c r="E16">
        <v>45</v>
      </c>
      <c r="F16">
        <v>1</v>
      </c>
      <c r="H16" s="2">
        <f t="shared" si="3"/>
        <v>0.9</v>
      </c>
      <c r="I16" s="2">
        <f t="shared" si="4"/>
        <v>1</v>
      </c>
      <c r="J16" s="2">
        <f t="shared" si="0"/>
        <v>0.5625</v>
      </c>
      <c r="K16" s="2">
        <f t="shared" si="0"/>
        <v>1</v>
      </c>
      <c r="M16" s="2" t="b">
        <f t="shared" si="2"/>
        <v>0</v>
      </c>
    </row>
    <row r="17" spans="1:13" x14ac:dyDescent="0.3">
      <c r="A17" t="s">
        <v>29</v>
      </c>
      <c r="B17" t="s">
        <v>30</v>
      </c>
      <c r="C17">
        <v>7</v>
      </c>
      <c r="D17">
        <v>20</v>
      </c>
      <c r="E17">
        <v>80</v>
      </c>
      <c r="F17">
        <v>1</v>
      </c>
      <c r="H17" s="2">
        <f t="shared" si="3"/>
        <v>0.875</v>
      </c>
      <c r="I17" s="2">
        <f t="shared" si="4"/>
        <v>1.1764705882352942</v>
      </c>
      <c r="J17" s="2">
        <f t="shared" si="0"/>
        <v>0.88888888888888884</v>
      </c>
      <c r="K17" s="2">
        <f>F3/F2</f>
        <v>0</v>
      </c>
      <c r="M17" s="2" t="b">
        <f t="shared" si="2"/>
        <v>1</v>
      </c>
    </row>
    <row r="18" spans="1:13" x14ac:dyDescent="0.3">
      <c r="A18" t="s">
        <v>31</v>
      </c>
      <c r="B18" t="s">
        <v>32</v>
      </c>
      <c r="C18">
        <v>10</v>
      </c>
      <c r="D18">
        <v>10</v>
      </c>
      <c r="E18">
        <v>45</v>
      </c>
      <c r="F18">
        <v>1</v>
      </c>
      <c r="H18" s="2">
        <f t="shared" si="3"/>
        <v>1.1111111111111112</v>
      </c>
      <c r="I18" s="2">
        <f t="shared" si="4"/>
        <v>0.52631578947368418</v>
      </c>
      <c r="J18" s="2">
        <f t="shared" si="0"/>
        <v>1</v>
      </c>
      <c r="K18" s="2">
        <f t="shared" si="0"/>
        <v>1</v>
      </c>
      <c r="M18" s="2" t="b">
        <f t="shared" si="2"/>
        <v>0</v>
      </c>
    </row>
    <row r="19" spans="1:13" x14ac:dyDescent="0.3">
      <c r="A19" t="s">
        <v>33</v>
      </c>
      <c r="B19" t="s">
        <v>34</v>
      </c>
      <c r="C19">
        <v>11</v>
      </c>
      <c r="D19">
        <v>20</v>
      </c>
      <c r="E19">
        <v>69</v>
      </c>
      <c r="F19">
        <v>0</v>
      </c>
      <c r="H19" s="2">
        <f t="shared" si="3"/>
        <v>1.5714285714285714</v>
      </c>
      <c r="I19" s="2">
        <f t="shared" si="4"/>
        <v>1</v>
      </c>
      <c r="J19" s="2">
        <f t="shared" si="0"/>
        <v>0.86250000000000004</v>
      </c>
      <c r="K19" s="2">
        <f t="shared" si="0"/>
        <v>0</v>
      </c>
      <c r="M19" s="2" t="b">
        <f t="shared" si="2"/>
        <v>1</v>
      </c>
    </row>
    <row r="20" spans="1:13" x14ac:dyDescent="0.3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3"/>
        <v>1</v>
      </c>
      <c r="I20" s="2">
        <f t="shared" si="4"/>
        <v>1.4</v>
      </c>
      <c r="J20" s="2">
        <f t="shared" si="4"/>
        <v>2</v>
      </c>
      <c r="K20" s="2">
        <f t="shared" si="4"/>
        <v>1</v>
      </c>
      <c r="M20" s="2" t="b">
        <f t="shared" si="2"/>
        <v>0</v>
      </c>
    </row>
    <row r="22" spans="1:13" x14ac:dyDescent="0.3">
      <c r="A22" t="s">
        <v>43</v>
      </c>
      <c r="C22">
        <f xml:space="preserve"> MAX(C4:C20)</f>
        <v>11</v>
      </c>
      <c r="D22">
        <f t="shared" ref="D22:K22" si="5" xml:space="preserve"> MAX(D4:D20)</f>
        <v>20</v>
      </c>
      <c r="E22">
        <f t="shared" si="5"/>
        <v>100</v>
      </c>
      <c r="F22">
        <f t="shared" si="5"/>
        <v>1</v>
      </c>
      <c r="H22" s="2">
        <f xml:space="preserve"> MAX(H4:H20)</f>
        <v>1.8</v>
      </c>
      <c r="I22" s="2">
        <f t="shared" ref="I22:K22" si="6" xml:space="preserve"> MAX(I4:I20)</f>
        <v>3.3333333333333335</v>
      </c>
      <c r="J22" s="2">
        <f t="shared" si="6"/>
        <v>2</v>
      </c>
      <c r="K22" s="2">
        <f t="shared" si="6"/>
        <v>1</v>
      </c>
    </row>
    <row r="23" spans="1:13" x14ac:dyDescent="0.3">
      <c r="A23" t="s">
        <v>42</v>
      </c>
      <c r="C23">
        <f xml:space="preserve"> MIN(C4:C20)</f>
        <v>5</v>
      </c>
      <c r="D23">
        <f t="shared" ref="D23:K23" si="7" xml:space="preserve"> MIN(D4:D20)</f>
        <v>6</v>
      </c>
      <c r="E23">
        <f t="shared" si="7"/>
        <v>45</v>
      </c>
      <c r="F23">
        <f t="shared" si="7"/>
        <v>0</v>
      </c>
      <c r="H23" s="3">
        <f xml:space="preserve"> MIN(H4:H20)</f>
        <v>0.55555555555555558</v>
      </c>
      <c r="I23" s="3">
        <f t="shared" ref="I23:M23" si="8" xml:space="preserve"> MIN(I4:I20)</f>
        <v>0.3</v>
      </c>
      <c r="J23" s="3">
        <f t="shared" si="8"/>
        <v>0.5625</v>
      </c>
      <c r="K23" s="3">
        <f t="shared" si="8"/>
        <v>0</v>
      </c>
      <c r="L23" s="3"/>
      <c r="M23" s="3"/>
    </row>
    <row r="24" spans="1:13" x14ac:dyDescent="0.3">
      <c r="A24" t="s">
        <v>44</v>
      </c>
      <c r="C24">
        <f>AVERAGE(C4:C20)</f>
        <v>8.9411764705882355</v>
      </c>
      <c r="D24">
        <f t="shared" ref="D24:F24" si="9">AVERAGE(D4:D20)</f>
        <v>16.823529411764707</v>
      </c>
      <c r="E24">
        <f t="shared" si="9"/>
        <v>78.411764705882348</v>
      </c>
      <c r="F24">
        <f t="shared" si="9"/>
        <v>0.82352941176470584</v>
      </c>
      <c r="H24" s="3">
        <f xml:space="preserve"> AVERAGE(H4:H20)</f>
        <v>1.0398225957049487</v>
      </c>
      <c r="I24" s="3">
        <f t="shared" ref="I24:K24" si="10" xml:space="preserve"> AVERAGE(I4:I20)</f>
        <v>1.1112932273012404</v>
      </c>
      <c r="J24" s="3">
        <f t="shared" si="10"/>
        <v>1.0283558403598179</v>
      </c>
      <c r="K24" s="3">
        <f t="shared" si="10"/>
        <v>0.76470588235294112</v>
      </c>
    </row>
    <row r="25" spans="1:13" x14ac:dyDescent="0.3">
      <c r="A25" t="s">
        <v>45</v>
      </c>
      <c r="C25">
        <f xml:space="preserve"> SUM(C4:C21)</f>
        <v>152</v>
      </c>
      <c r="D25">
        <f t="shared" ref="D25:F25" si="11" xml:space="preserve"> SUM(D4:D21)</f>
        <v>286</v>
      </c>
      <c r="E25">
        <f t="shared" si="11"/>
        <v>1333</v>
      </c>
      <c r="F25">
        <f t="shared" si="11"/>
        <v>14</v>
      </c>
      <c r="H25" s="3">
        <f xml:space="preserve"> SUM(H4:H20)</f>
        <v>17.676984126984127</v>
      </c>
      <c r="I25" s="3">
        <f t="shared" ref="I25:K25" si="12" xml:space="preserve"> SUM(I4:I20)</f>
        <v>18.891984864121085</v>
      </c>
      <c r="J25" s="3">
        <f t="shared" si="12"/>
        <v>17.482049286116904</v>
      </c>
      <c r="K25" s="3">
        <f t="shared" si="12"/>
        <v>13</v>
      </c>
    </row>
  </sheetData>
  <conditionalFormatting sqref="C2:C20">
    <cfRule type="iconSet" priority="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:C25"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2:E2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2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2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4" priority="3" operator="lessThan">
      <formula>0.5</formula>
    </cfRule>
  </conditionalFormatting>
  <conditionalFormatting sqref="M7">
    <cfRule type="containsText" dxfId="3" priority="2" operator="containsText" text="TRUE">
      <formula>NOT(ISERROR(SEARCH("TRUE",M7)))</formula>
    </cfRule>
  </conditionalFormatting>
  <conditionalFormatting sqref="M4:M20">
    <cfRule type="containsText" dxfId="0" priority="1" operator="containsText" text="TRUE">
      <formula>NOT(ISERROR(SEARCH("TRUE",M4)))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Naina Mogha</dc:creator>
  <cp:lastModifiedBy>Naina Mogha</cp:lastModifiedBy>
  <dcterms:created xsi:type="dcterms:W3CDTF">2025-12-29T05:31:20Z</dcterms:created>
  <dcterms:modified xsi:type="dcterms:W3CDTF">2025-12-29T06:15:18Z</dcterms:modified>
</cp:coreProperties>
</file>